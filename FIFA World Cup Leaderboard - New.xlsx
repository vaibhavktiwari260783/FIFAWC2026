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worldcup_excel_static_site\worldcup_excel_static_site\"/>
    </mc:Choice>
  </mc:AlternateContent>
  <xr:revisionPtr revIDLastSave="0" documentId="13_ncr:1_{5D89FF7F-D3E0-4EDE-ADF0-EFFD6774FDB3}" xr6:coauthVersionLast="47" xr6:coauthVersionMax="47" xr10:uidLastSave="{00000000-0000-0000-0000-000000000000}"/>
  <bookViews>
    <workbookView xWindow="-108" yWindow="-108" windowWidth="23256" windowHeight="12576" xr2:uid="{D153FB45-E8AD-4B86-9FC9-AA12C7ACBD8A}"/>
  </bookViews>
  <sheets>
    <sheet name="Participants" sheetId="1" r:id="rId1"/>
    <sheet name="standings" sheetId="3" r:id="rId2"/>
  </sheets>
  <definedNames>
    <definedName name="_xlnm._FilterDatabase" localSheetId="0" hidden="1">Participants!$A$1:$H$1</definedName>
    <definedName name="ExternalData_1" localSheetId="1" hidden="1">standings!$A$1:$L$49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5" i="1"/>
  <c r="G11" i="1"/>
  <c r="G12" i="1"/>
  <c r="G9" i="1"/>
  <c r="G6" i="1"/>
  <c r="G7" i="1"/>
  <c r="G8" i="1"/>
  <c r="G17" i="1"/>
  <c r="G13" i="1"/>
  <c r="G4" i="1"/>
  <c r="G14" i="1"/>
  <c r="G15" i="1"/>
  <c r="G10" i="1"/>
  <c r="G16" i="1"/>
  <c r="F3" i="1"/>
  <c r="F5" i="1"/>
  <c r="F11" i="1"/>
  <c r="F12" i="1"/>
  <c r="F9" i="1"/>
  <c r="F6" i="1"/>
  <c r="F7" i="1"/>
  <c r="F8" i="1"/>
  <c r="F17" i="1"/>
  <c r="F13" i="1"/>
  <c r="F4" i="1"/>
  <c r="F14" i="1"/>
  <c r="F15" i="1"/>
  <c r="F10" i="1"/>
  <c r="F16" i="1"/>
  <c r="E3" i="1"/>
  <c r="E5" i="1"/>
  <c r="E11" i="1"/>
  <c r="E12" i="1"/>
  <c r="E9" i="1"/>
  <c r="E6" i="1"/>
  <c r="E7" i="1"/>
  <c r="E8" i="1"/>
  <c r="E17" i="1"/>
  <c r="E13" i="1"/>
  <c r="E4" i="1"/>
  <c r="E14" i="1"/>
  <c r="E15" i="1"/>
  <c r="E10" i="1"/>
  <c r="E16" i="1"/>
  <c r="H16" i="1" s="1"/>
  <c r="G2" i="1"/>
  <c r="F2" i="1"/>
  <c r="E2" i="1"/>
  <c r="H10" i="1" l="1"/>
  <c r="H6" i="1"/>
  <c r="H15" i="1"/>
  <c r="H9" i="1"/>
  <c r="H14" i="1"/>
  <c r="H12" i="1"/>
  <c r="H4" i="1"/>
  <c r="H11" i="1"/>
  <c r="H2" i="1"/>
  <c r="H13" i="1"/>
  <c r="H5" i="1"/>
  <c r="H7" i="1"/>
  <c r="H17" i="1"/>
  <c r="H3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9B2C38-A8FF-486C-B9E9-2F24184D3CA2}" keepAlive="1" name="Query - standings" description="Connection to the 'standings' query in the workbook." type="5" refreshedVersion="8" background="1" saveData="1">
    <dbPr connection="Provider=Microsoft.Mashup.OleDb.1;Data Source=$Workbook$;Location=standings;Extended Properties=&quot;&quot;" command="SELECT * FROM [standings]"/>
  </connection>
</connections>
</file>

<file path=xl/sharedStrings.xml><?xml version="1.0" encoding="utf-8"?>
<sst xmlns="http://schemas.openxmlformats.org/spreadsheetml/2006/main" count="225" uniqueCount="142">
  <si>
    <t>Participant</t>
  </si>
  <si>
    <t>Arsha</t>
  </si>
  <si>
    <t>Morocco</t>
  </si>
  <si>
    <t>Switzerland</t>
  </si>
  <si>
    <t>Abhilasha</t>
  </si>
  <si>
    <t>Arvinder</t>
  </si>
  <si>
    <t>Amruta</t>
  </si>
  <si>
    <t>Vaibhav</t>
  </si>
  <si>
    <t>Rudu</t>
  </si>
  <si>
    <t>Himanshu</t>
  </si>
  <si>
    <t>Divya</t>
  </si>
  <si>
    <t>Swapnil</t>
  </si>
  <si>
    <t>Raksha</t>
  </si>
  <si>
    <t>Jayshree</t>
  </si>
  <si>
    <t>Chandan</t>
  </si>
  <si>
    <t>Yuga</t>
  </si>
  <si>
    <t>Prasan</t>
  </si>
  <si>
    <t>Alaizah</t>
  </si>
  <si>
    <t>Group</t>
  </si>
  <si>
    <t>Position</t>
  </si>
  <si>
    <t>Team</t>
  </si>
  <si>
    <t>Code</t>
  </si>
  <si>
    <t>Played</t>
  </si>
  <si>
    <t>Won</t>
  </si>
  <si>
    <t>Draw</t>
  </si>
  <si>
    <t>Lost</t>
  </si>
  <si>
    <t>Points</t>
  </si>
  <si>
    <t>GoalsFor</t>
  </si>
  <si>
    <t>GoalsAgainst</t>
  </si>
  <si>
    <t>GoalDifference</t>
  </si>
  <si>
    <t>Group A</t>
  </si>
  <si>
    <t>Mexico</t>
  </si>
  <si>
    <t>MEX</t>
  </si>
  <si>
    <t>South Korea</t>
  </si>
  <si>
    <t>KOR</t>
  </si>
  <si>
    <t>Czechia</t>
  </si>
  <si>
    <t>CZE</t>
  </si>
  <si>
    <t>South Africa</t>
  </si>
  <si>
    <t>RSA</t>
  </si>
  <si>
    <t>Group B</t>
  </si>
  <si>
    <t>Canada</t>
  </si>
  <si>
    <t>CAN</t>
  </si>
  <si>
    <t>SUI</t>
  </si>
  <si>
    <t>Bosnia-Herzegovina</t>
  </si>
  <si>
    <t>BIH</t>
  </si>
  <si>
    <t>Qatar</t>
  </si>
  <si>
    <t>QAT</t>
  </si>
  <si>
    <t>Group C</t>
  </si>
  <si>
    <t>MAR</t>
  </si>
  <si>
    <t>Scotland</t>
  </si>
  <si>
    <t>SCO</t>
  </si>
  <si>
    <t>Brazil</t>
  </si>
  <si>
    <t>BRA</t>
  </si>
  <si>
    <t>Haiti</t>
  </si>
  <si>
    <t>HAI</t>
  </si>
  <si>
    <t>Group D</t>
  </si>
  <si>
    <t>United States</t>
  </si>
  <si>
    <t>USA</t>
  </si>
  <si>
    <t>Australia</t>
  </si>
  <si>
    <t>AUS</t>
  </si>
  <si>
    <t>Turkey</t>
  </si>
  <si>
    <t>TUR</t>
  </si>
  <si>
    <t>Paraguay</t>
  </si>
  <si>
    <t>PAR</t>
  </si>
  <si>
    <t>Group E</t>
  </si>
  <si>
    <t>Germany</t>
  </si>
  <si>
    <t>GER</t>
  </si>
  <si>
    <t>Ivory Coast</t>
  </si>
  <si>
    <t>CIV</t>
  </si>
  <si>
    <t>Ecuador</t>
  </si>
  <si>
    <t>ECU</t>
  </si>
  <si>
    <t>Curaçao</t>
  </si>
  <si>
    <t>CUW</t>
  </si>
  <si>
    <t>Group F</t>
  </si>
  <si>
    <t>Sweden</t>
  </si>
  <si>
    <t>SWE</t>
  </si>
  <si>
    <t>Japan</t>
  </si>
  <si>
    <t>JPN</t>
  </si>
  <si>
    <t>Netherlands</t>
  </si>
  <si>
    <t>NED</t>
  </si>
  <si>
    <t>Tunisia</t>
  </si>
  <si>
    <t>TUN</t>
  </si>
  <si>
    <t>Group G</t>
  </si>
  <si>
    <t>New Zealand</t>
  </si>
  <si>
    <t>NZL</t>
  </si>
  <si>
    <t>Iran</t>
  </si>
  <si>
    <t>IRN</t>
  </si>
  <si>
    <t>Belgium</t>
  </si>
  <si>
    <t>BEL</t>
  </si>
  <si>
    <t>Egypt</t>
  </si>
  <si>
    <t>EGY</t>
  </si>
  <si>
    <t>Group H</t>
  </si>
  <si>
    <t>Uruguay</t>
  </si>
  <si>
    <t>URU</t>
  </si>
  <si>
    <t>Saudi Arabia</t>
  </si>
  <si>
    <t>KSA</t>
  </si>
  <si>
    <t>Spain</t>
  </si>
  <si>
    <t>ESP</t>
  </si>
  <si>
    <t>Cape Verde Islands</t>
  </si>
  <si>
    <t>CPV</t>
  </si>
  <si>
    <t>Group I</t>
  </si>
  <si>
    <t>Norway</t>
  </si>
  <si>
    <t>NOR</t>
  </si>
  <si>
    <t>France</t>
  </si>
  <si>
    <t>FRA</t>
  </si>
  <si>
    <t>Senegal</t>
  </si>
  <si>
    <t>SEN</t>
  </si>
  <si>
    <t>Iraq</t>
  </si>
  <si>
    <t>IRQ</t>
  </si>
  <si>
    <t>Group J</t>
  </si>
  <si>
    <t>Argentina</t>
  </si>
  <si>
    <t>ARG</t>
  </si>
  <si>
    <t>Austria</t>
  </si>
  <si>
    <t>AUT</t>
  </si>
  <si>
    <t>Jordan</t>
  </si>
  <si>
    <t>JOR</t>
  </si>
  <si>
    <t>Algeria</t>
  </si>
  <si>
    <t>ALG</t>
  </si>
  <si>
    <t>Group K</t>
  </si>
  <si>
    <t>Colombia</t>
  </si>
  <si>
    <t>COL</t>
  </si>
  <si>
    <t>Congo DR</t>
  </si>
  <si>
    <t>COD</t>
  </si>
  <si>
    <t>Portugal</t>
  </si>
  <si>
    <t>POR</t>
  </si>
  <si>
    <t>Uzbekistan</t>
  </si>
  <si>
    <t>UZB</t>
  </si>
  <si>
    <t>Group L</t>
  </si>
  <si>
    <t>England</t>
  </si>
  <si>
    <t>ENG</t>
  </si>
  <si>
    <t>Ghana</t>
  </si>
  <si>
    <t>GHA</t>
  </si>
  <si>
    <t>Panama</t>
  </si>
  <si>
    <t>PAN</t>
  </si>
  <si>
    <t>Croatia</t>
  </si>
  <si>
    <t>CRO</t>
  </si>
  <si>
    <t>Team 1</t>
  </si>
  <si>
    <t>Team 2</t>
  </si>
  <si>
    <t>Team 3</t>
  </si>
  <si>
    <t>Bharath</t>
  </si>
  <si>
    <t>Curacao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</si>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</sst>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50CDB8-1276-4093-8994-98459E9B887F}" autoFormatId="16" applyNumberFormats="0" applyBorderFormats="0" applyFontFormats="0" applyPatternFormats="0" applyAlignmentFormats="0" applyWidthHeightFormats="0">
  <queryTableRefresh nextId="13">
    <queryTableFields count="12">
      <queryTableField id="1" name="Group" tableColumnId="1"/>
      <queryTableField id="2" name="Position" tableColumnId="2"/>
      <queryTableField id="3" name="Team" tableColumnId="3"/>
      <queryTableField id="4" name="Code" tableColumnId="4"/>
      <queryTableField id="5" name="Played" tableColumnId="5"/>
      <queryTableField id="6" name="Won" tableColumnId="6"/>
      <queryTableField id="7" name="Draw" tableColumnId="7"/>
      <queryTableField id="8" name="Lost" tableColumnId="8"/>
      <queryTableField id="9" name="Points" tableColumnId="9"/>
      <queryTableField id="10" name="GoalsFor" tableColumnId="10"/>
      <queryTableField id="11" name="GoalsAgainst" tableColumnId="11"/>
      <queryTableField id="12" name="GoalDifferen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3B38E-9C8D-4AE3-B9C0-4AC008AA4BF6}" name="standings" displayName="standings" ref="A1:L49" tableType="queryTable" totalsRowShown="0">
  <autoFilter ref="A1:L49" xr:uid="{A423B38E-9C8D-4AE3-B9C0-4AC008AA4BF6}"/>
  <tableColumns count="12">
    <tableColumn id="1" xr3:uid="{D1E45445-A7DC-46B7-8D37-D3752B057A5D}" uniqueName="1" name="Group" queryTableFieldId="1"/>
    <tableColumn id="2" xr3:uid="{B87ACBB7-FBDA-402C-BE54-CE0193D63C4C}" uniqueName="2" name="Position" queryTableFieldId="2"/>
    <tableColumn id="3" xr3:uid="{018B91C6-9D6A-4C4B-ABDA-90DDD7F6E0C4}" uniqueName="3" name="Team" queryTableFieldId="3"/>
    <tableColumn id="4" xr3:uid="{FA585BEA-6A57-4EFE-844B-82F67535591C}" uniqueName="4" name="Code" queryTableFieldId="4"/>
    <tableColumn id="5" xr3:uid="{191F2DD8-962C-4300-9DFF-CA5AF6DAB970}" uniqueName="5" name="Played" queryTableFieldId="5"/>
    <tableColumn id="6" xr3:uid="{AEB43CFE-3EB9-48AB-975E-73D0F032A85E}" uniqueName="6" name="Won" queryTableFieldId="6"/>
    <tableColumn id="7" xr3:uid="{98052DBC-C822-447A-A886-10FF8F76BE87}" uniqueName="7" name="Draw" queryTableFieldId="7"/>
    <tableColumn id="8" xr3:uid="{4D16ADE7-22E5-4BCD-8995-356E45EFF931}" uniqueName="8" name="Lost" queryTableFieldId="8"/>
    <tableColumn id="9" xr3:uid="{74C97FCC-1DED-4F4B-B47B-EB6C772C943E}" uniqueName="9" name="Points" queryTableFieldId="9"/>
    <tableColumn id="10" xr3:uid="{121EE68E-8567-4645-B221-85E018A36F78}" uniqueName="10" name="GoalsFor" queryTableFieldId="10"/>
    <tableColumn id="11" xr3:uid="{A8356A2E-D5BD-49AF-8A06-99207E495F34}" uniqueName="11" name="GoalsAgainst" queryTableFieldId="11"/>
    <tableColumn id="12" xr3:uid="{24EC25C7-F132-4D24-9D1F-F8C430176033}" uniqueName="12" name="GoalDifferenc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84EF-8F4A-4F68-965E-577EC8DB0C06}">
  <dimension ref="A1:H17"/>
  <sheetViews>
    <sheetView tabSelected="1" workbookViewId="0"/>
  </sheetViews>
  <sheetFormatPr defaultRowHeight="14.4" x14ac:dyDescent="0.3"/>
  <cols>
    <col min="1" max="1" width="9.77734375" bestFit="1" customWidth="1"/>
    <col min="2" max="2" width="10.77734375" bestFit="1" customWidth="1"/>
    <col min="3" max="3" width="17.21875" bestFit="1" customWidth="1"/>
    <col min="4" max="4" width="10.88671875" bestFit="1" customWidth="1"/>
    <col min="5" max="7" width="0" hidden="1" customWidth="1"/>
  </cols>
  <sheetData>
    <row r="1" spans="1:8" x14ac:dyDescent="0.3">
      <c r="A1" s="1" t="s">
        <v>0</v>
      </c>
      <c r="B1" s="1" t="s">
        <v>136</v>
      </c>
      <c r="C1" s="1" t="s">
        <v>137</v>
      </c>
      <c r="D1" s="1" t="s">
        <v>138</v>
      </c>
      <c r="E1" s="1"/>
      <c r="F1" s="1"/>
      <c r="G1" s="1"/>
      <c r="H1" s="1" t="s">
        <v>141</v>
      </c>
    </row>
    <row r="2" spans="1:8" x14ac:dyDescent="0.3">
      <c r="A2" s="1" t="s">
        <v>1</v>
      </c>
      <c r="B2" s="1" t="s">
        <v>2</v>
      </c>
      <c r="C2" s="1" t="s">
        <v>43</v>
      </c>
      <c r="D2" s="1" t="s">
        <v>3</v>
      </c>
      <c r="E2" s="1">
        <f>_xlfn.XLOOKUP(B2,standings!$C:$C,standings!$I:$I,0)</f>
        <v>4</v>
      </c>
      <c r="F2" s="1">
        <f>_xlfn.XLOOKUP(C2,standings!$C:$C,standings!$I:$I,0)</f>
        <v>1</v>
      </c>
      <c r="G2" s="1">
        <f>_xlfn.XLOOKUP(D2,standings!$C:$C,standings!$I:$I,0)</f>
        <v>4</v>
      </c>
      <c r="H2" s="1">
        <f t="shared" ref="H2:H17" si="0">SUM(E2:G2)</f>
        <v>9</v>
      </c>
    </row>
    <row r="3" spans="1:8" x14ac:dyDescent="0.3">
      <c r="A3" s="1" t="s">
        <v>4</v>
      </c>
      <c r="B3" s="1" t="s">
        <v>67</v>
      </c>
      <c r="C3" s="1" t="s">
        <v>56</v>
      </c>
      <c r="D3" s="1" t="s">
        <v>132</v>
      </c>
      <c r="E3" s="1">
        <f>_xlfn.XLOOKUP(B3,standings!$C:$C,standings!$I:$I,0)</f>
        <v>6</v>
      </c>
      <c r="F3" s="1">
        <f>_xlfn.XLOOKUP(C3,standings!$C:$C,standings!$I:$I,0)</f>
        <v>6</v>
      </c>
      <c r="G3" s="1">
        <f>_xlfn.XLOOKUP(D3,standings!$C:$C,standings!$I:$I,0)</f>
        <v>0</v>
      </c>
      <c r="H3" s="1">
        <f t="shared" si="0"/>
        <v>12</v>
      </c>
    </row>
    <row r="4" spans="1:8" x14ac:dyDescent="0.3">
      <c r="A4" s="1" t="s">
        <v>13</v>
      </c>
      <c r="B4" s="1" t="s">
        <v>119</v>
      </c>
      <c r="C4" s="1" t="s">
        <v>128</v>
      </c>
      <c r="D4" s="1" t="s">
        <v>130</v>
      </c>
      <c r="E4" s="1">
        <f>_xlfn.XLOOKUP(B4,standings!$C:$C,standings!$I:$I,0)</f>
        <v>3</v>
      </c>
      <c r="F4" s="1">
        <f>_xlfn.XLOOKUP(C4,standings!$C:$C,standings!$I:$I,0)</f>
        <v>3</v>
      </c>
      <c r="G4" s="1">
        <f>_xlfn.XLOOKUP(D4,standings!$C:$C,standings!$I:$I,0)</f>
        <v>3</v>
      </c>
      <c r="H4" s="1">
        <f t="shared" si="0"/>
        <v>9</v>
      </c>
    </row>
    <row r="5" spans="1:8" x14ac:dyDescent="0.3">
      <c r="A5" s="1" t="s">
        <v>5</v>
      </c>
      <c r="B5" s="1" t="s">
        <v>76</v>
      </c>
      <c r="C5" s="1" t="s">
        <v>40</v>
      </c>
      <c r="D5" s="1" t="s">
        <v>33</v>
      </c>
      <c r="E5" s="1">
        <f>_xlfn.XLOOKUP(B5,standings!$C:$C,standings!$I:$I,0)</f>
        <v>1</v>
      </c>
      <c r="F5" s="1">
        <f>_xlfn.XLOOKUP(C5,standings!$C:$C,standings!$I:$I,0)</f>
        <v>4</v>
      </c>
      <c r="G5" s="1">
        <f>_xlfn.XLOOKUP(D5,standings!$C:$C,standings!$I:$I,0)</f>
        <v>3</v>
      </c>
      <c r="H5" s="1">
        <f t="shared" si="0"/>
        <v>8</v>
      </c>
    </row>
    <row r="6" spans="1:8" x14ac:dyDescent="0.3">
      <c r="A6" s="1" t="s">
        <v>9</v>
      </c>
      <c r="B6" s="1" t="s">
        <v>65</v>
      </c>
      <c r="C6" s="1" t="s">
        <v>98</v>
      </c>
      <c r="D6" s="1" t="s">
        <v>112</v>
      </c>
      <c r="E6" s="1">
        <f>_xlfn.XLOOKUP(B6,standings!$C:$C,standings!$I:$I,0)</f>
        <v>3</v>
      </c>
      <c r="F6" s="1">
        <f>_xlfn.XLOOKUP(C6,standings!$C:$C,standings!$I:$I,0)</f>
        <v>1</v>
      </c>
      <c r="G6" s="1">
        <f>_xlfn.XLOOKUP(D6,standings!$C:$C,standings!$I:$I,0)</f>
        <v>3</v>
      </c>
      <c r="H6" s="1">
        <f t="shared" si="0"/>
        <v>7</v>
      </c>
    </row>
    <row r="7" spans="1:8" x14ac:dyDescent="0.3">
      <c r="A7" s="1" t="s">
        <v>10</v>
      </c>
      <c r="B7" s="1" t="s">
        <v>58</v>
      </c>
      <c r="C7" s="1" t="s">
        <v>110</v>
      </c>
      <c r="D7" s="1" t="s">
        <v>85</v>
      </c>
      <c r="E7" s="1">
        <f>_xlfn.XLOOKUP(B7,standings!$C:$C,standings!$I:$I,0)</f>
        <v>3</v>
      </c>
      <c r="F7" s="1">
        <f>_xlfn.XLOOKUP(C7,standings!$C:$C,standings!$I:$I,0)</f>
        <v>3</v>
      </c>
      <c r="G7" s="1">
        <f>_xlfn.XLOOKUP(D7,standings!$C:$C,standings!$I:$I,0)</f>
        <v>1</v>
      </c>
      <c r="H7" s="1">
        <f t="shared" si="0"/>
        <v>7</v>
      </c>
    </row>
    <row r="8" spans="1:8" x14ac:dyDescent="0.3">
      <c r="A8" s="1" t="s">
        <v>11</v>
      </c>
      <c r="B8" s="1" t="s">
        <v>116</v>
      </c>
      <c r="C8" s="1" t="s">
        <v>114</v>
      </c>
      <c r="D8" s="1" t="s">
        <v>31</v>
      </c>
      <c r="E8" s="1">
        <f>_xlfn.XLOOKUP(B8,standings!$C:$C,standings!$I:$I,0)</f>
        <v>0</v>
      </c>
      <c r="F8" s="1">
        <f>_xlfn.XLOOKUP(C8,standings!$C:$C,standings!$I:$I,0)</f>
        <v>0</v>
      </c>
      <c r="G8" s="1">
        <f>_xlfn.XLOOKUP(D8,standings!$C:$C,standings!$I:$I,0)</f>
        <v>6</v>
      </c>
      <c r="H8" s="1">
        <f t="shared" si="0"/>
        <v>6</v>
      </c>
    </row>
    <row r="9" spans="1:8" x14ac:dyDescent="0.3">
      <c r="A9" s="1" t="s">
        <v>8</v>
      </c>
      <c r="B9" s="1" t="s">
        <v>51</v>
      </c>
      <c r="C9" s="1" t="s">
        <v>49</v>
      </c>
      <c r="D9" s="1" t="s">
        <v>45</v>
      </c>
      <c r="E9" s="1">
        <f>_xlfn.XLOOKUP(B9,standings!$C:$C,standings!$I:$I,0)</f>
        <v>4</v>
      </c>
      <c r="F9" s="1">
        <f>_xlfn.XLOOKUP(C9,standings!$C:$C,standings!$I:$I,0)</f>
        <v>3</v>
      </c>
      <c r="G9" s="1">
        <f>_xlfn.XLOOKUP(D9,standings!$C:$C,standings!$I:$I,0)</f>
        <v>1</v>
      </c>
      <c r="H9" s="1">
        <f t="shared" si="0"/>
        <v>8</v>
      </c>
    </row>
    <row r="10" spans="1:8" x14ac:dyDescent="0.3">
      <c r="A10" s="1" t="s">
        <v>16</v>
      </c>
      <c r="B10" s="1" t="s">
        <v>92</v>
      </c>
      <c r="C10" s="1" t="s">
        <v>74</v>
      </c>
      <c r="D10" s="1" t="s">
        <v>96</v>
      </c>
      <c r="E10" s="1">
        <f>_xlfn.XLOOKUP(B10,standings!$C:$C,standings!$I:$I,0)</f>
        <v>1</v>
      </c>
      <c r="F10" s="1">
        <f>_xlfn.XLOOKUP(C10,standings!$C:$C,standings!$I:$I,0)</f>
        <v>3</v>
      </c>
      <c r="G10" s="1">
        <f>_xlfn.XLOOKUP(D10,standings!$C:$C,standings!$I:$I,0)</f>
        <v>1</v>
      </c>
      <c r="H10" s="1">
        <f t="shared" si="0"/>
        <v>5</v>
      </c>
    </row>
    <row r="11" spans="1:8" x14ac:dyDescent="0.3">
      <c r="A11" s="1" t="s">
        <v>6</v>
      </c>
      <c r="B11" s="1" t="s">
        <v>87</v>
      </c>
      <c r="C11" s="1" t="s">
        <v>103</v>
      </c>
      <c r="D11" s="1" t="s">
        <v>134</v>
      </c>
      <c r="E11" s="1">
        <f>_xlfn.XLOOKUP(B11,standings!$C:$C,standings!$I:$I,0)</f>
        <v>1</v>
      </c>
      <c r="F11" s="1">
        <f>_xlfn.XLOOKUP(C11,standings!$C:$C,standings!$I:$I,0)</f>
        <v>3</v>
      </c>
      <c r="G11" s="1">
        <f>_xlfn.XLOOKUP(D11,standings!$C:$C,standings!$I:$I,0)</f>
        <v>0</v>
      </c>
      <c r="H11" s="1">
        <f t="shared" si="0"/>
        <v>4</v>
      </c>
    </row>
    <row r="12" spans="1:8" x14ac:dyDescent="0.3">
      <c r="A12" s="1" t="s">
        <v>7</v>
      </c>
      <c r="B12" s="1" t="s">
        <v>101</v>
      </c>
      <c r="C12" s="1" t="s">
        <v>94</v>
      </c>
      <c r="D12" s="1" t="s">
        <v>125</v>
      </c>
      <c r="E12" s="1">
        <f>_xlfn.XLOOKUP(B12,standings!$C:$C,standings!$I:$I,0)</f>
        <v>3</v>
      </c>
      <c r="F12" s="1">
        <f>_xlfn.XLOOKUP(C12,standings!$C:$C,standings!$I:$I,0)</f>
        <v>1</v>
      </c>
      <c r="G12" s="1">
        <f>_xlfn.XLOOKUP(D12,standings!$C:$C,standings!$I:$I,0)</f>
        <v>0</v>
      </c>
      <c r="H12" s="1">
        <f t="shared" si="0"/>
        <v>4</v>
      </c>
    </row>
    <row r="13" spans="1:8" x14ac:dyDescent="0.3">
      <c r="A13" s="1" t="s">
        <v>139</v>
      </c>
      <c r="B13" s="1" t="s">
        <v>121</v>
      </c>
      <c r="C13" s="1" t="s">
        <v>62</v>
      </c>
      <c r="D13" s="1" t="s">
        <v>89</v>
      </c>
      <c r="E13" s="1">
        <f>_xlfn.XLOOKUP(B13,standings!$C:$C,standings!$I:$I,0)</f>
        <v>1</v>
      </c>
      <c r="F13" s="1">
        <f>_xlfn.XLOOKUP(C13,standings!$C:$C,standings!$I:$I,0)</f>
        <v>3</v>
      </c>
      <c r="G13" s="1">
        <f>_xlfn.XLOOKUP(D13,standings!$C:$C,standings!$I:$I,0)</f>
        <v>1</v>
      </c>
      <c r="H13" s="1">
        <f t="shared" si="0"/>
        <v>5</v>
      </c>
    </row>
    <row r="14" spans="1:8" x14ac:dyDescent="0.3">
      <c r="A14" s="1" t="s">
        <v>14</v>
      </c>
      <c r="B14" s="1" t="s">
        <v>60</v>
      </c>
      <c r="C14" s="1" t="s">
        <v>83</v>
      </c>
      <c r="D14" s="1" t="s">
        <v>78</v>
      </c>
      <c r="E14" s="1">
        <f>_xlfn.XLOOKUP(B14,standings!$C:$C,standings!$I:$I,0)</f>
        <v>0</v>
      </c>
      <c r="F14" s="1">
        <f>_xlfn.XLOOKUP(C14,standings!$C:$C,standings!$I:$I,0)</f>
        <v>1</v>
      </c>
      <c r="G14" s="1">
        <f>_xlfn.XLOOKUP(D14,standings!$C:$C,standings!$I:$I,0)</f>
        <v>4</v>
      </c>
      <c r="H14" s="1">
        <f t="shared" si="0"/>
        <v>5</v>
      </c>
    </row>
    <row r="15" spans="1:8" x14ac:dyDescent="0.3">
      <c r="A15" s="1" t="s">
        <v>15</v>
      </c>
      <c r="B15" s="1" t="s">
        <v>37</v>
      </c>
      <c r="C15" s="1" t="s">
        <v>35</v>
      </c>
      <c r="D15" s="1" t="s">
        <v>69</v>
      </c>
      <c r="E15" s="1">
        <f>_xlfn.XLOOKUP(B15,standings!$C:$C,standings!$I:$I,0)</f>
        <v>1</v>
      </c>
      <c r="F15" s="1">
        <f>_xlfn.XLOOKUP(C15,standings!$C:$C,standings!$I:$I,0)</f>
        <v>1</v>
      </c>
      <c r="G15" s="1">
        <f>_xlfn.XLOOKUP(D15,standings!$C:$C,standings!$I:$I,0)</f>
        <v>0</v>
      </c>
      <c r="H15" s="1">
        <f t="shared" si="0"/>
        <v>2</v>
      </c>
    </row>
    <row r="16" spans="1:8" x14ac:dyDescent="0.3">
      <c r="A16" s="1" t="s">
        <v>17</v>
      </c>
      <c r="B16" s="1" t="s">
        <v>140</v>
      </c>
      <c r="C16" s="1" t="s">
        <v>80</v>
      </c>
      <c r="D16" s="1" t="s">
        <v>123</v>
      </c>
      <c r="E16" s="1">
        <f>_xlfn.XLOOKUP(B16,standings!$C:$C,standings!$I:$I,0)</f>
        <v>0</v>
      </c>
      <c r="F16" s="1">
        <f>_xlfn.XLOOKUP(C16,standings!$C:$C,standings!$I:$I,0)</f>
        <v>0</v>
      </c>
      <c r="G16" s="1">
        <f>_xlfn.XLOOKUP(D16,standings!$C:$C,standings!$I:$I,0)</f>
        <v>1</v>
      </c>
      <c r="H16" s="1">
        <f t="shared" si="0"/>
        <v>1</v>
      </c>
    </row>
    <row r="17" spans="1:8" x14ac:dyDescent="0.3">
      <c r="A17" s="1" t="s">
        <v>12</v>
      </c>
      <c r="B17" s="1" t="s">
        <v>53</v>
      </c>
      <c r="C17" s="1" t="s">
        <v>107</v>
      </c>
      <c r="D17" s="1" t="s">
        <v>105</v>
      </c>
      <c r="E17" s="1">
        <f>_xlfn.XLOOKUP(B17,standings!$C:$C,standings!$I:$I,0)</f>
        <v>0</v>
      </c>
      <c r="F17" s="1">
        <f>_xlfn.XLOOKUP(C17,standings!$C:$C,standings!$I:$I,0)</f>
        <v>0</v>
      </c>
      <c r="G17" s="1">
        <f>_xlfn.XLOOKUP(D17,standings!$C:$C,standings!$I:$I,0)</f>
        <v>0</v>
      </c>
      <c r="H17" s="1">
        <f t="shared" si="0"/>
        <v>0</v>
      </c>
    </row>
  </sheetData>
  <autoFilter ref="A1:H1" xr:uid="{B8E884EF-8F4A-4F68-965E-577EC8DB0C06}">
    <sortState xmlns:xlrd2="http://schemas.microsoft.com/office/spreadsheetml/2017/richdata2" ref="A2:H17">
      <sortCondition descending="1" ref="H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1578-1DFC-424E-A095-391E2D18C189}">
  <dimension ref="A1:L49"/>
  <sheetViews>
    <sheetView workbookViewId="0">
      <selection activeCell="I2" sqref="I2"/>
    </sheetView>
  </sheetViews>
  <sheetFormatPr defaultRowHeight="14.4" x14ac:dyDescent="0.3"/>
  <cols>
    <col min="1" max="1" width="8.33203125" bestFit="1" customWidth="1"/>
    <col min="2" max="2" width="10" bestFit="1" customWidth="1"/>
    <col min="3" max="3" width="17.21875" bestFit="1" customWidth="1"/>
    <col min="4" max="4" width="7.5546875" bestFit="1" customWidth="1"/>
    <col min="6" max="6" width="6.88671875" bestFit="1" customWidth="1"/>
    <col min="7" max="7" width="7.44140625" bestFit="1" customWidth="1"/>
    <col min="8" max="8" width="6.6640625" bestFit="1" customWidth="1"/>
    <col min="9" max="9" width="8.44140625" bestFit="1" customWidth="1"/>
    <col min="10" max="10" width="10.6640625" bestFit="1" customWidth="1"/>
    <col min="11" max="11" width="14.109375" bestFit="1" customWidth="1"/>
    <col min="12" max="12" width="15.77734375" bestFit="1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">
      <c r="A2" t="s">
        <v>30</v>
      </c>
      <c r="B2">
        <v>1</v>
      </c>
      <c r="C2" t="s">
        <v>31</v>
      </c>
      <c r="D2" t="s">
        <v>32</v>
      </c>
      <c r="E2">
        <v>2</v>
      </c>
      <c r="F2">
        <v>2</v>
      </c>
      <c r="G2">
        <v>0</v>
      </c>
      <c r="H2">
        <v>0</v>
      </c>
      <c r="I2">
        <v>6</v>
      </c>
      <c r="J2">
        <v>3</v>
      </c>
      <c r="K2">
        <v>0</v>
      </c>
      <c r="L2">
        <v>3</v>
      </c>
    </row>
    <row r="3" spans="1:12" x14ac:dyDescent="0.3">
      <c r="A3" t="s">
        <v>30</v>
      </c>
      <c r="B3">
        <v>2</v>
      </c>
      <c r="C3" t="s">
        <v>33</v>
      </c>
      <c r="D3" t="s">
        <v>34</v>
      </c>
      <c r="E3">
        <v>2</v>
      </c>
      <c r="F3">
        <v>1</v>
      </c>
      <c r="G3">
        <v>0</v>
      </c>
      <c r="H3">
        <v>1</v>
      </c>
      <c r="I3">
        <v>3</v>
      </c>
      <c r="J3">
        <v>2</v>
      </c>
      <c r="K3">
        <v>2</v>
      </c>
      <c r="L3">
        <v>0</v>
      </c>
    </row>
    <row r="4" spans="1:12" x14ac:dyDescent="0.3">
      <c r="A4" t="s">
        <v>30</v>
      </c>
      <c r="B4">
        <v>3</v>
      </c>
      <c r="C4" t="s">
        <v>35</v>
      </c>
      <c r="D4" t="s">
        <v>36</v>
      </c>
      <c r="E4">
        <v>2</v>
      </c>
      <c r="F4">
        <v>0</v>
      </c>
      <c r="G4">
        <v>1</v>
      </c>
      <c r="H4">
        <v>1</v>
      </c>
      <c r="I4">
        <v>1</v>
      </c>
      <c r="J4">
        <v>2</v>
      </c>
      <c r="K4">
        <v>3</v>
      </c>
      <c r="L4">
        <v>-1</v>
      </c>
    </row>
    <row r="5" spans="1:12" x14ac:dyDescent="0.3">
      <c r="A5" t="s">
        <v>30</v>
      </c>
      <c r="B5">
        <v>4</v>
      </c>
      <c r="C5" t="s">
        <v>37</v>
      </c>
      <c r="D5" t="s">
        <v>38</v>
      </c>
      <c r="E5">
        <v>2</v>
      </c>
      <c r="F5">
        <v>0</v>
      </c>
      <c r="G5">
        <v>1</v>
      </c>
      <c r="H5">
        <v>1</v>
      </c>
      <c r="I5">
        <v>1</v>
      </c>
      <c r="J5">
        <v>1</v>
      </c>
      <c r="K5">
        <v>3</v>
      </c>
      <c r="L5">
        <v>-2</v>
      </c>
    </row>
    <row r="6" spans="1:12" x14ac:dyDescent="0.3">
      <c r="A6" t="s">
        <v>39</v>
      </c>
      <c r="B6">
        <v>1</v>
      </c>
      <c r="C6" t="s">
        <v>40</v>
      </c>
      <c r="D6" t="s">
        <v>41</v>
      </c>
      <c r="E6">
        <v>2</v>
      </c>
      <c r="F6">
        <v>1</v>
      </c>
      <c r="G6">
        <v>1</v>
      </c>
      <c r="H6">
        <v>0</v>
      </c>
      <c r="I6">
        <v>4</v>
      </c>
      <c r="J6">
        <v>7</v>
      </c>
      <c r="K6">
        <v>1</v>
      </c>
      <c r="L6">
        <v>6</v>
      </c>
    </row>
    <row r="7" spans="1:12" x14ac:dyDescent="0.3">
      <c r="A7" t="s">
        <v>39</v>
      </c>
      <c r="B7">
        <v>2</v>
      </c>
      <c r="C7" t="s">
        <v>3</v>
      </c>
      <c r="D7" t="s">
        <v>42</v>
      </c>
      <c r="E7">
        <v>2</v>
      </c>
      <c r="F7">
        <v>1</v>
      </c>
      <c r="G7">
        <v>1</v>
      </c>
      <c r="H7">
        <v>0</v>
      </c>
      <c r="I7">
        <v>4</v>
      </c>
      <c r="J7">
        <v>5</v>
      </c>
      <c r="K7">
        <v>2</v>
      </c>
      <c r="L7">
        <v>3</v>
      </c>
    </row>
    <row r="8" spans="1:12" x14ac:dyDescent="0.3">
      <c r="A8" t="s">
        <v>39</v>
      </c>
      <c r="B8">
        <v>3</v>
      </c>
      <c r="C8" t="s">
        <v>43</v>
      </c>
      <c r="D8" t="s">
        <v>44</v>
      </c>
      <c r="E8">
        <v>2</v>
      </c>
      <c r="F8">
        <v>0</v>
      </c>
      <c r="G8">
        <v>1</v>
      </c>
      <c r="H8">
        <v>1</v>
      </c>
      <c r="I8">
        <v>1</v>
      </c>
      <c r="J8">
        <v>2</v>
      </c>
      <c r="K8">
        <v>5</v>
      </c>
      <c r="L8">
        <v>-3</v>
      </c>
    </row>
    <row r="9" spans="1:12" x14ac:dyDescent="0.3">
      <c r="A9" t="s">
        <v>39</v>
      </c>
      <c r="B9">
        <v>4</v>
      </c>
      <c r="C9" t="s">
        <v>45</v>
      </c>
      <c r="D9" t="s">
        <v>46</v>
      </c>
      <c r="E9">
        <v>2</v>
      </c>
      <c r="F9">
        <v>0</v>
      </c>
      <c r="G9">
        <v>1</v>
      </c>
      <c r="H9">
        <v>1</v>
      </c>
      <c r="I9">
        <v>1</v>
      </c>
      <c r="J9">
        <v>1</v>
      </c>
      <c r="K9">
        <v>7</v>
      </c>
      <c r="L9">
        <v>-6</v>
      </c>
    </row>
    <row r="10" spans="1:12" x14ac:dyDescent="0.3">
      <c r="A10" t="s">
        <v>47</v>
      </c>
      <c r="B10">
        <v>1</v>
      </c>
      <c r="C10" t="s">
        <v>51</v>
      </c>
      <c r="D10" t="s">
        <v>52</v>
      </c>
      <c r="E10">
        <v>2</v>
      </c>
      <c r="F10">
        <v>1</v>
      </c>
      <c r="G10">
        <v>1</v>
      </c>
      <c r="H10">
        <v>0</v>
      </c>
      <c r="I10">
        <v>4</v>
      </c>
      <c r="J10">
        <v>4</v>
      </c>
      <c r="K10">
        <v>1</v>
      </c>
      <c r="L10">
        <v>3</v>
      </c>
    </row>
    <row r="11" spans="1:12" x14ac:dyDescent="0.3">
      <c r="A11" t="s">
        <v>47</v>
      </c>
      <c r="B11">
        <v>2</v>
      </c>
      <c r="C11" t="s">
        <v>2</v>
      </c>
      <c r="D11" t="s">
        <v>48</v>
      </c>
      <c r="E11">
        <v>2</v>
      </c>
      <c r="F11">
        <v>1</v>
      </c>
      <c r="G11">
        <v>1</v>
      </c>
      <c r="H11">
        <v>0</v>
      </c>
      <c r="I11">
        <v>4</v>
      </c>
      <c r="J11">
        <v>2</v>
      </c>
      <c r="K11">
        <v>1</v>
      </c>
      <c r="L11">
        <v>1</v>
      </c>
    </row>
    <row r="12" spans="1:12" x14ac:dyDescent="0.3">
      <c r="A12" t="s">
        <v>47</v>
      </c>
      <c r="B12">
        <v>3</v>
      </c>
      <c r="C12" t="s">
        <v>49</v>
      </c>
      <c r="D12" t="s">
        <v>50</v>
      </c>
      <c r="E12">
        <v>2</v>
      </c>
      <c r="F12">
        <v>1</v>
      </c>
      <c r="G12">
        <v>0</v>
      </c>
      <c r="H12">
        <v>1</v>
      </c>
      <c r="I12">
        <v>3</v>
      </c>
      <c r="J12">
        <v>1</v>
      </c>
      <c r="K12">
        <v>1</v>
      </c>
      <c r="L12">
        <v>0</v>
      </c>
    </row>
    <row r="13" spans="1:12" x14ac:dyDescent="0.3">
      <c r="A13" t="s">
        <v>47</v>
      </c>
      <c r="B13">
        <v>4</v>
      </c>
      <c r="C13" t="s">
        <v>53</v>
      </c>
      <c r="D13" t="s">
        <v>54</v>
      </c>
      <c r="E13">
        <v>2</v>
      </c>
      <c r="F13">
        <v>0</v>
      </c>
      <c r="G13">
        <v>0</v>
      </c>
      <c r="H13">
        <v>2</v>
      </c>
      <c r="I13">
        <v>0</v>
      </c>
      <c r="J13">
        <v>0</v>
      </c>
      <c r="K13">
        <v>4</v>
      </c>
      <c r="L13">
        <v>-4</v>
      </c>
    </row>
    <row r="14" spans="1:12" x14ac:dyDescent="0.3">
      <c r="A14" t="s">
        <v>55</v>
      </c>
      <c r="B14">
        <v>1</v>
      </c>
      <c r="C14" t="s">
        <v>56</v>
      </c>
      <c r="D14" t="s">
        <v>57</v>
      </c>
      <c r="E14">
        <v>2</v>
      </c>
      <c r="F14">
        <v>2</v>
      </c>
      <c r="G14">
        <v>0</v>
      </c>
      <c r="H14">
        <v>0</v>
      </c>
      <c r="I14">
        <v>6</v>
      </c>
      <c r="J14">
        <v>6</v>
      </c>
      <c r="K14">
        <v>1</v>
      </c>
      <c r="L14">
        <v>5</v>
      </c>
    </row>
    <row r="15" spans="1:12" x14ac:dyDescent="0.3">
      <c r="A15" t="s">
        <v>55</v>
      </c>
      <c r="B15">
        <v>2</v>
      </c>
      <c r="C15" t="s">
        <v>58</v>
      </c>
      <c r="D15" t="s">
        <v>59</v>
      </c>
      <c r="E15">
        <v>2</v>
      </c>
      <c r="F15">
        <v>1</v>
      </c>
      <c r="G15">
        <v>0</v>
      </c>
      <c r="H15">
        <v>1</v>
      </c>
      <c r="I15">
        <v>3</v>
      </c>
      <c r="J15">
        <v>2</v>
      </c>
      <c r="K15">
        <v>2</v>
      </c>
      <c r="L15">
        <v>0</v>
      </c>
    </row>
    <row r="16" spans="1:12" x14ac:dyDescent="0.3">
      <c r="A16" t="s">
        <v>55</v>
      </c>
      <c r="B16">
        <v>3</v>
      </c>
      <c r="C16" t="s">
        <v>62</v>
      </c>
      <c r="D16" t="s">
        <v>63</v>
      </c>
      <c r="E16">
        <v>2</v>
      </c>
      <c r="F16">
        <v>1</v>
      </c>
      <c r="G16">
        <v>0</v>
      </c>
      <c r="H16">
        <v>1</v>
      </c>
      <c r="I16">
        <v>3</v>
      </c>
      <c r="J16">
        <v>2</v>
      </c>
      <c r="K16">
        <v>4</v>
      </c>
      <c r="L16">
        <v>-2</v>
      </c>
    </row>
    <row r="17" spans="1:12" x14ac:dyDescent="0.3">
      <c r="A17" t="s">
        <v>55</v>
      </c>
      <c r="B17">
        <v>4</v>
      </c>
      <c r="C17" t="s">
        <v>60</v>
      </c>
      <c r="D17" t="s">
        <v>61</v>
      </c>
      <c r="E17">
        <v>2</v>
      </c>
      <c r="F17">
        <v>0</v>
      </c>
      <c r="G17">
        <v>0</v>
      </c>
      <c r="H17">
        <v>2</v>
      </c>
      <c r="I17">
        <v>0</v>
      </c>
      <c r="J17">
        <v>0</v>
      </c>
      <c r="K17">
        <v>3</v>
      </c>
      <c r="L17">
        <v>-3</v>
      </c>
    </row>
    <row r="18" spans="1:12" x14ac:dyDescent="0.3">
      <c r="A18" t="s">
        <v>64</v>
      </c>
      <c r="B18">
        <v>1</v>
      </c>
      <c r="C18" t="s">
        <v>67</v>
      </c>
      <c r="D18" t="s">
        <v>68</v>
      </c>
      <c r="E18">
        <v>2</v>
      </c>
      <c r="F18">
        <v>2</v>
      </c>
      <c r="G18">
        <v>0</v>
      </c>
      <c r="H18">
        <v>0</v>
      </c>
      <c r="I18">
        <v>6</v>
      </c>
      <c r="J18">
        <v>2</v>
      </c>
      <c r="K18">
        <v>0</v>
      </c>
      <c r="L18">
        <v>2</v>
      </c>
    </row>
    <row r="19" spans="1:12" x14ac:dyDescent="0.3">
      <c r="A19" t="s">
        <v>64</v>
      </c>
      <c r="B19">
        <v>2</v>
      </c>
      <c r="C19" t="s">
        <v>65</v>
      </c>
      <c r="D19" t="s">
        <v>66</v>
      </c>
      <c r="E19">
        <v>2</v>
      </c>
      <c r="F19">
        <v>1</v>
      </c>
      <c r="G19">
        <v>0</v>
      </c>
      <c r="H19">
        <v>1</v>
      </c>
      <c r="I19">
        <v>3</v>
      </c>
      <c r="J19">
        <v>7</v>
      </c>
      <c r="K19">
        <v>2</v>
      </c>
      <c r="L19">
        <v>5</v>
      </c>
    </row>
    <row r="20" spans="1:12" x14ac:dyDescent="0.3">
      <c r="A20" t="s">
        <v>64</v>
      </c>
      <c r="B20">
        <v>3</v>
      </c>
      <c r="C20" t="s">
        <v>69</v>
      </c>
      <c r="D20" t="s">
        <v>70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-1</v>
      </c>
    </row>
    <row r="21" spans="1:12" x14ac:dyDescent="0.3">
      <c r="A21" t="s">
        <v>64</v>
      </c>
      <c r="B21">
        <v>4</v>
      </c>
      <c r="C21" t="s">
        <v>71</v>
      </c>
      <c r="D21" t="s">
        <v>72</v>
      </c>
      <c r="E21">
        <v>1</v>
      </c>
      <c r="F21">
        <v>0</v>
      </c>
      <c r="G21">
        <v>0</v>
      </c>
      <c r="H21">
        <v>1</v>
      </c>
      <c r="I21">
        <v>0</v>
      </c>
      <c r="J21">
        <v>1</v>
      </c>
      <c r="K21">
        <v>7</v>
      </c>
      <c r="L21">
        <v>-6</v>
      </c>
    </row>
    <row r="22" spans="1:12" x14ac:dyDescent="0.3">
      <c r="A22" t="s">
        <v>73</v>
      </c>
      <c r="B22">
        <v>1</v>
      </c>
      <c r="C22" t="s">
        <v>78</v>
      </c>
      <c r="D22" t="s">
        <v>79</v>
      </c>
      <c r="E22">
        <v>2</v>
      </c>
      <c r="F22">
        <v>1</v>
      </c>
      <c r="G22">
        <v>1</v>
      </c>
      <c r="H22">
        <v>0</v>
      </c>
      <c r="I22">
        <v>4</v>
      </c>
      <c r="J22">
        <v>7</v>
      </c>
      <c r="K22">
        <v>3</v>
      </c>
      <c r="L22">
        <v>4</v>
      </c>
    </row>
    <row r="23" spans="1:12" x14ac:dyDescent="0.3">
      <c r="A23" t="s">
        <v>73</v>
      </c>
      <c r="B23">
        <v>2</v>
      </c>
      <c r="C23" t="s">
        <v>74</v>
      </c>
      <c r="D23" t="s">
        <v>75</v>
      </c>
      <c r="E23">
        <v>2</v>
      </c>
      <c r="F23">
        <v>1</v>
      </c>
      <c r="G23">
        <v>0</v>
      </c>
      <c r="H23">
        <v>1</v>
      </c>
      <c r="I23">
        <v>3</v>
      </c>
      <c r="J23">
        <v>6</v>
      </c>
      <c r="K23">
        <v>6</v>
      </c>
      <c r="L23">
        <v>0</v>
      </c>
    </row>
    <row r="24" spans="1:12" x14ac:dyDescent="0.3">
      <c r="A24" t="s">
        <v>73</v>
      </c>
      <c r="B24">
        <v>3</v>
      </c>
      <c r="C24" t="s">
        <v>76</v>
      </c>
      <c r="D24" t="s">
        <v>77</v>
      </c>
      <c r="E24">
        <v>1</v>
      </c>
      <c r="F24">
        <v>0</v>
      </c>
      <c r="G24">
        <v>1</v>
      </c>
      <c r="H24">
        <v>0</v>
      </c>
      <c r="I24">
        <v>1</v>
      </c>
      <c r="J24">
        <v>2</v>
      </c>
      <c r="K24">
        <v>2</v>
      </c>
      <c r="L24">
        <v>0</v>
      </c>
    </row>
    <row r="25" spans="1:12" x14ac:dyDescent="0.3">
      <c r="A25" t="s">
        <v>73</v>
      </c>
      <c r="B25">
        <v>4</v>
      </c>
      <c r="C25" t="s">
        <v>80</v>
      </c>
      <c r="D25" t="s">
        <v>81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5</v>
      </c>
      <c r="L25">
        <v>-4</v>
      </c>
    </row>
    <row r="26" spans="1:12" x14ac:dyDescent="0.3">
      <c r="A26" t="s">
        <v>82</v>
      </c>
      <c r="B26">
        <v>1</v>
      </c>
      <c r="C26" t="s">
        <v>83</v>
      </c>
      <c r="D26" t="s">
        <v>84</v>
      </c>
      <c r="E26">
        <v>1</v>
      </c>
      <c r="F26">
        <v>0</v>
      </c>
      <c r="G26">
        <v>1</v>
      </c>
      <c r="H26">
        <v>0</v>
      </c>
      <c r="I26">
        <v>1</v>
      </c>
      <c r="J26">
        <v>2</v>
      </c>
      <c r="K26">
        <v>2</v>
      </c>
      <c r="L26">
        <v>0</v>
      </c>
    </row>
    <row r="27" spans="1:12" x14ac:dyDescent="0.3">
      <c r="A27" t="s">
        <v>82</v>
      </c>
      <c r="B27">
        <v>2</v>
      </c>
      <c r="C27" t="s">
        <v>85</v>
      </c>
      <c r="D27" t="s">
        <v>86</v>
      </c>
      <c r="E27">
        <v>1</v>
      </c>
      <c r="F27">
        <v>0</v>
      </c>
      <c r="G27">
        <v>1</v>
      </c>
      <c r="H27">
        <v>0</v>
      </c>
      <c r="I27">
        <v>1</v>
      </c>
      <c r="J27">
        <v>2</v>
      </c>
      <c r="K27">
        <v>2</v>
      </c>
      <c r="L27">
        <v>0</v>
      </c>
    </row>
    <row r="28" spans="1:12" x14ac:dyDescent="0.3">
      <c r="A28" t="s">
        <v>82</v>
      </c>
      <c r="B28">
        <v>3</v>
      </c>
      <c r="C28" t="s">
        <v>87</v>
      </c>
      <c r="D28" t="s">
        <v>88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</row>
    <row r="29" spans="1:12" x14ac:dyDescent="0.3">
      <c r="A29" t="s">
        <v>82</v>
      </c>
      <c r="B29">
        <v>4</v>
      </c>
      <c r="C29" t="s">
        <v>89</v>
      </c>
      <c r="D29" t="s">
        <v>90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</row>
    <row r="30" spans="1:12" x14ac:dyDescent="0.3">
      <c r="A30" t="s">
        <v>91</v>
      </c>
      <c r="B30">
        <v>1</v>
      </c>
      <c r="C30" t="s">
        <v>92</v>
      </c>
      <c r="D30" t="s">
        <v>93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1</v>
      </c>
      <c r="L30">
        <v>0</v>
      </c>
    </row>
    <row r="31" spans="1:12" x14ac:dyDescent="0.3">
      <c r="A31" t="s">
        <v>91</v>
      </c>
      <c r="B31">
        <v>2</v>
      </c>
      <c r="C31" t="s">
        <v>94</v>
      </c>
      <c r="D31" t="s">
        <v>95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1</v>
      </c>
      <c r="L31">
        <v>0</v>
      </c>
    </row>
    <row r="32" spans="1:12" x14ac:dyDescent="0.3">
      <c r="A32" t="s">
        <v>91</v>
      </c>
      <c r="B32">
        <v>3</v>
      </c>
      <c r="C32" t="s">
        <v>96</v>
      </c>
      <c r="D32" t="s">
        <v>97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3">
      <c r="A33" t="s">
        <v>91</v>
      </c>
      <c r="B33">
        <v>4</v>
      </c>
      <c r="C33" t="s">
        <v>98</v>
      </c>
      <c r="D33" t="s">
        <v>99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</row>
    <row r="34" spans="1:12" x14ac:dyDescent="0.3">
      <c r="A34" t="s">
        <v>100</v>
      </c>
      <c r="B34">
        <v>1</v>
      </c>
      <c r="C34" t="s">
        <v>101</v>
      </c>
      <c r="D34" t="s">
        <v>102</v>
      </c>
      <c r="E34">
        <v>1</v>
      </c>
      <c r="F34">
        <v>1</v>
      </c>
      <c r="G34">
        <v>0</v>
      </c>
      <c r="H34">
        <v>0</v>
      </c>
      <c r="I34">
        <v>3</v>
      </c>
      <c r="J34">
        <v>4</v>
      </c>
      <c r="K34">
        <v>1</v>
      </c>
      <c r="L34">
        <v>3</v>
      </c>
    </row>
    <row r="35" spans="1:12" x14ac:dyDescent="0.3">
      <c r="A35" t="s">
        <v>100</v>
      </c>
      <c r="B35">
        <v>2</v>
      </c>
      <c r="C35" t="s">
        <v>103</v>
      </c>
      <c r="D35" t="s">
        <v>104</v>
      </c>
      <c r="E35">
        <v>1</v>
      </c>
      <c r="F35">
        <v>1</v>
      </c>
      <c r="G35">
        <v>0</v>
      </c>
      <c r="H35">
        <v>0</v>
      </c>
      <c r="I35">
        <v>3</v>
      </c>
      <c r="J35">
        <v>3</v>
      </c>
      <c r="K35">
        <v>1</v>
      </c>
      <c r="L35">
        <v>2</v>
      </c>
    </row>
    <row r="36" spans="1:12" x14ac:dyDescent="0.3">
      <c r="A36" t="s">
        <v>100</v>
      </c>
      <c r="B36">
        <v>3</v>
      </c>
      <c r="C36" t="s">
        <v>105</v>
      </c>
      <c r="D36" t="s">
        <v>106</v>
      </c>
      <c r="E36">
        <v>1</v>
      </c>
      <c r="F36">
        <v>0</v>
      </c>
      <c r="G36">
        <v>0</v>
      </c>
      <c r="H36">
        <v>1</v>
      </c>
      <c r="I36">
        <v>0</v>
      </c>
      <c r="J36">
        <v>1</v>
      </c>
      <c r="K36">
        <v>3</v>
      </c>
      <c r="L36">
        <v>-2</v>
      </c>
    </row>
    <row r="37" spans="1:12" x14ac:dyDescent="0.3">
      <c r="A37" t="s">
        <v>100</v>
      </c>
      <c r="B37">
        <v>4</v>
      </c>
      <c r="C37" t="s">
        <v>107</v>
      </c>
      <c r="D37" t="s">
        <v>108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4</v>
      </c>
      <c r="L37">
        <v>-3</v>
      </c>
    </row>
    <row r="38" spans="1:12" x14ac:dyDescent="0.3">
      <c r="A38" t="s">
        <v>109</v>
      </c>
      <c r="B38">
        <v>1</v>
      </c>
      <c r="C38" t="s">
        <v>110</v>
      </c>
      <c r="D38" t="s">
        <v>111</v>
      </c>
      <c r="E38">
        <v>1</v>
      </c>
      <c r="F38">
        <v>1</v>
      </c>
      <c r="G38">
        <v>0</v>
      </c>
      <c r="H38">
        <v>0</v>
      </c>
      <c r="I38">
        <v>3</v>
      </c>
      <c r="J38">
        <v>3</v>
      </c>
      <c r="K38">
        <v>0</v>
      </c>
      <c r="L38">
        <v>3</v>
      </c>
    </row>
    <row r="39" spans="1:12" x14ac:dyDescent="0.3">
      <c r="A39" t="s">
        <v>109</v>
      </c>
      <c r="B39">
        <v>2</v>
      </c>
      <c r="C39" t="s">
        <v>112</v>
      </c>
      <c r="D39" t="s">
        <v>113</v>
      </c>
      <c r="E39">
        <v>1</v>
      </c>
      <c r="F39">
        <v>1</v>
      </c>
      <c r="G39">
        <v>0</v>
      </c>
      <c r="H39">
        <v>0</v>
      </c>
      <c r="I39">
        <v>3</v>
      </c>
      <c r="J39">
        <v>3</v>
      </c>
      <c r="K39">
        <v>1</v>
      </c>
      <c r="L39">
        <v>2</v>
      </c>
    </row>
    <row r="40" spans="1:12" x14ac:dyDescent="0.3">
      <c r="A40" t="s">
        <v>109</v>
      </c>
      <c r="B40">
        <v>3</v>
      </c>
      <c r="C40" t="s">
        <v>114</v>
      </c>
      <c r="D40" t="s">
        <v>115</v>
      </c>
      <c r="E40">
        <v>1</v>
      </c>
      <c r="F40">
        <v>0</v>
      </c>
      <c r="G40">
        <v>0</v>
      </c>
      <c r="H40">
        <v>1</v>
      </c>
      <c r="I40">
        <v>0</v>
      </c>
      <c r="J40">
        <v>1</v>
      </c>
      <c r="K40">
        <v>3</v>
      </c>
      <c r="L40">
        <v>-2</v>
      </c>
    </row>
    <row r="41" spans="1:12" x14ac:dyDescent="0.3">
      <c r="A41" t="s">
        <v>109</v>
      </c>
      <c r="B41">
        <v>4</v>
      </c>
      <c r="C41" t="s">
        <v>116</v>
      </c>
      <c r="D41" t="s">
        <v>117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3</v>
      </c>
      <c r="L41">
        <v>-3</v>
      </c>
    </row>
    <row r="42" spans="1:12" x14ac:dyDescent="0.3">
      <c r="A42" t="s">
        <v>118</v>
      </c>
      <c r="B42">
        <v>1</v>
      </c>
      <c r="C42" t="s">
        <v>119</v>
      </c>
      <c r="D42" t="s">
        <v>120</v>
      </c>
      <c r="E42">
        <v>1</v>
      </c>
      <c r="F42">
        <v>1</v>
      </c>
      <c r="G42">
        <v>0</v>
      </c>
      <c r="H42">
        <v>0</v>
      </c>
      <c r="I42">
        <v>3</v>
      </c>
      <c r="J42">
        <v>3</v>
      </c>
      <c r="K42">
        <v>1</v>
      </c>
      <c r="L42">
        <v>2</v>
      </c>
    </row>
    <row r="43" spans="1:12" x14ac:dyDescent="0.3">
      <c r="A43" t="s">
        <v>118</v>
      </c>
      <c r="B43">
        <v>2</v>
      </c>
      <c r="C43" t="s">
        <v>121</v>
      </c>
      <c r="D43" t="s">
        <v>122</v>
      </c>
      <c r="E43">
        <v>1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</row>
    <row r="44" spans="1:12" x14ac:dyDescent="0.3">
      <c r="A44" t="s">
        <v>118</v>
      </c>
      <c r="B44">
        <v>2</v>
      </c>
      <c r="C44" t="s">
        <v>123</v>
      </c>
      <c r="D44" t="s">
        <v>124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</row>
    <row r="45" spans="1:12" x14ac:dyDescent="0.3">
      <c r="A45" t="s">
        <v>118</v>
      </c>
      <c r="B45">
        <v>4</v>
      </c>
      <c r="C45" t="s">
        <v>125</v>
      </c>
      <c r="D45" t="s">
        <v>126</v>
      </c>
      <c r="E45">
        <v>1</v>
      </c>
      <c r="F45">
        <v>0</v>
      </c>
      <c r="G45">
        <v>0</v>
      </c>
      <c r="H45">
        <v>1</v>
      </c>
      <c r="I45">
        <v>0</v>
      </c>
      <c r="J45">
        <v>1</v>
      </c>
      <c r="K45">
        <v>3</v>
      </c>
      <c r="L45">
        <v>-2</v>
      </c>
    </row>
    <row r="46" spans="1:12" x14ac:dyDescent="0.3">
      <c r="A46" t="s">
        <v>127</v>
      </c>
      <c r="B46">
        <v>1</v>
      </c>
      <c r="C46" t="s">
        <v>128</v>
      </c>
      <c r="D46" t="s">
        <v>129</v>
      </c>
      <c r="E46">
        <v>1</v>
      </c>
      <c r="F46">
        <v>1</v>
      </c>
      <c r="G46">
        <v>0</v>
      </c>
      <c r="H46">
        <v>0</v>
      </c>
      <c r="I46">
        <v>3</v>
      </c>
      <c r="J46">
        <v>4</v>
      </c>
      <c r="K46">
        <v>2</v>
      </c>
      <c r="L46">
        <v>2</v>
      </c>
    </row>
    <row r="47" spans="1:12" x14ac:dyDescent="0.3">
      <c r="A47" t="s">
        <v>127</v>
      </c>
      <c r="B47">
        <v>2</v>
      </c>
      <c r="C47" t="s">
        <v>130</v>
      </c>
      <c r="D47" t="s">
        <v>131</v>
      </c>
      <c r="E47">
        <v>1</v>
      </c>
      <c r="F47">
        <v>1</v>
      </c>
      <c r="G47">
        <v>0</v>
      </c>
      <c r="H47">
        <v>0</v>
      </c>
      <c r="I47">
        <v>3</v>
      </c>
      <c r="J47">
        <v>1</v>
      </c>
      <c r="K47">
        <v>0</v>
      </c>
      <c r="L47">
        <v>1</v>
      </c>
    </row>
    <row r="48" spans="1:12" x14ac:dyDescent="0.3">
      <c r="A48" t="s">
        <v>127</v>
      </c>
      <c r="B48">
        <v>3</v>
      </c>
      <c r="C48" t="s">
        <v>132</v>
      </c>
      <c r="D48" t="s">
        <v>133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-1</v>
      </c>
    </row>
    <row r="49" spans="1:12" x14ac:dyDescent="0.3">
      <c r="A49" t="s">
        <v>127</v>
      </c>
      <c r="B49">
        <v>4</v>
      </c>
      <c r="C49" t="s">
        <v>134</v>
      </c>
      <c r="D49" t="s">
        <v>135</v>
      </c>
      <c r="E49">
        <v>1</v>
      </c>
      <c r="F49">
        <v>0</v>
      </c>
      <c r="G49">
        <v>0</v>
      </c>
      <c r="H49">
        <v>1</v>
      </c>
      <c r="I49">
        <v>0</v>
      </c>
      <c r="J49">
        <v>2</v>
      </c>
      <c r="K49">
        <v>4</v>
      </c>
      <c r="L49">
        <v>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04CA9D-B063-4F6D-9718-4A6023384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standings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Tiwari</dc:creator>
  <cp:lastModifiedBy>Vaibhav Tiwari</cp:lastModifiedBy>
  <dcterms:created xsi:type="dcterms:W3CDTF">2026-06-17T23:24:26Z</dcterms:created>
  <dcterms:modified xsi:type="dcterms:W3CDTF">2026-06-20T21:31:15Z</dcterms:modified>
</cp:coreProperties>
</file>